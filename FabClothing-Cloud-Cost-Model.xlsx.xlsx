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ofleicester-my.sharepoint.com/personal/pam36_student_le_ac_uk/Documents/"/>
    </mc:Choice>
  </mc:AlternateContent>
  <xr:revisionPtr revIDLastSave="0" documentId="8_{AD6FE823-6C22-434B-99FD-61639DB1E9BA}" xr6:coauthVersionLast="47" xr6:coauthVersionMax="47" xr10:uidLastSave="{00000000-0000-0000-0000-000000000000}"/>
  <bookViews>
    <workbookView xWindow="14680" yWindow="660" windowWidth="14720" windowHeight="17260" xr2:uid="{6908071E-3CD5-3F45-A11F-788BB5D901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4" i="1" l="1"/>
  <c r="D40" i="1"/>
  <c r="B26" i="1"/>
  <c r="B40" i="1"/>
  <c r="C40" i="1"/>
  <c r="B54" i="1"/>
  <c r="D26" i="1"/>
  <c r="C26" i="1"/>
  <c r="B62" i="1" l="1"/>
  <c r="B63" i="1"/>
  <c r="B65" i="1" s="1"/>
  <c r="B27" i="1"/>
  <c r="B41" i="1"/>
</calcChain>
</file>

<file path=xl/sharedStrings.xml><?xml version="1.0" encoding="utf-8"?>
<sst xmlns="http://schemas.openxmlformats.org/spreadsheetml/2006/main" count="81" uniqueCount="68">
  <si>
    <t>Assumption</t>
  </si>
  <si>
    <t>Employees</t>
  </si>
  <si>
    <t>Customers</t>
  </si>
  <si>
    <t>Annual Revenue</t>
  </si>
  <si>
    <t>Analysis Period</t>
  </si>
  <si>
    <t>3 Years</t>
  </si>
  <si>
    <t xml:space="preserve">Web Servers </t>
  </si>
  <si>
    <t>Application Servers</t>
  </si>
  <si>
    <t>Database Servers</t>
  </si>
  <si>
    <t>Storage</t>
  </si>
  <si>
    <t>IT Team</t>
  </si>
  <si>
    <t xml:space="preserve">                  20TB</t>
  </si>
  <si>
    <t xml:space="preserve">Cloud Provider </t>
  </si>
  <si>
    <t>AWS</t>
  </si>
  <si>
    <t>AWS Region</t>
  </si>
  <si>
    <t>N. Virginia</t>
  </si>
  <si>
    <t>On-Premise Cost</t>
  </si>
  <si>
    <t xml:space="preserve"> Cost Category</t>
  </si>
  <si>
    <t>Year 1</t>
  </si>
  <si>
    <t>Year 2</t>
  </si>
  <si>
    <t>Year 3</t>
  </si>
  <si>
    <t>Server Hardware</t>
  </si>
  <si>
    <t>Storage hardware</t>
  </si>
  <si>
    <t>Data centre costs</t>
  </si>
  <si>
    <t>Electricity/Cooling</t>
  </si>
  <si>
    <t>Hardware Maintenance</t>
  </si>
  <si>
    <t>Backup/Disaster recovery</t>
  </si>
  <si>
    <t>IT infrastructure</t>
  </si>
  <si>
    <t>Total cost</t>
  </si>
  <si>
    <t>AWS Cost</t>
  </si>
  <si>
    <t>AWS Component</t>
  </si>
  <si>
    <t xml:space="preserve">EC2 </t>
  </si>
  <si>
    <t>RDS</t>
  </si>
  <si>
    <t>S3</t>
  </si>
  <si>
    <t>Load Balancer</t>
  </si>
  <si>
    <t>Data Transfer</t>
  </si>
  <si>
    <t>CloudWatch</t>
  </si>
  <si>
    <t>Backup</t>
  </si>
  <si>
    <t>AWS support</t>
  </si>
  <si>
    <t>Total Cost</t>
  </si>
  <si>
    <t>3-Year Total</t>
  </si>
  <si>
    <t>Migration Cost</t>
  </si>
  <si>
    <t>Estimated Cost</t>
  </si>
  <si>
    <t>Migration planning</t>
  </si>
  <si>
    <t>Application assessment</t>
  </si>
  <si>
    <t>Data migration</t>
  </si>
  <si>
    <t xml:space="preserve">Staff training </t>
  </si>
  <si>
    <t>External Consultancy</t>
  </si>
  <si>
    <t>Testing</t>
  </si>
  <si>
    <t>Temporary dual-runnning</t>
  </si>
  <si>
    <t>Total</t>
  </si>
  <si>
    <t>On-Premise</t>
  </si>
  <si>
    <t>Migration</t>
  </si>
  <si>
    <t>Cloud + Migration</t>
  </si>
  <si>
    <t>Total cost of Comparison</t>
  </si>
  <si>
    <t>Risk</t>
  </si>
  <si>
    <t>Likelihood</t>
  </si>
  <si>
    <t>Impact</t>
  </si>
  <si>
    <t>Mitigation</t>
  </si>
  <si>
    <t xml:space="preserve">Data loss during migration </t>
  </si>
  <si>
    <t>Medium</t>
  </si>
  <si>
    <t>High</t>
  </si>
  <si>
    <t>Backup and data validation</t>
  </si>
  <si>
    <t xml:space="preserve">Budgets and monitoring </t>
  </si>
  <si>
    <t>Security misconfigurations</t>
  </si>
  <si>
    <t>IAM, testing, security groups</t>
  </si>
  <si>
    <t>Migration takes longer that expected</t>
  </si>
  <si>
    <t>Pilot migration and phased rollout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</si>
</sst>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£&quot;#,##0_);[Red]\(&quot;£&quot;#,##0\)"/>
    <numFmt numFmtId="8" formatCode="&quot;£&quot;#,##0.00_);[Red]\(&quot;£&quot;#,##0.00\)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 (Body)"/>
    </font>
    <font>
      <b/>
      <sz val="12"/>
      <color theme="1"/>
      <name val="Aptos Narrow"/>
      <scheme val="minor"/>
    </font>
    <font>
      <b/>
      <sz val="12"/>
      <color theme="1"/>
      <name val="Aptos Narrow (Body)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6" fontId="0" fillId="0" borderId="0" xfId="0" applyNumberFormat="1"/>
    <xf numFmtId="8" fontId="0" fillId="0" borderId="0" xfId="0" applyNumberFormat="1"/>
    <xf numFmtId="8" fontId="1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Sheet1!$B$60</c:f>
              <c:strCache>
                <c:ptCount val="1"/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955-724A-9802-211229B5673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955-724A-9802-211229B5673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955-724A-9802-211229B5673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955-724A-9802-211229B5673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955-724A-9802-211229B56737}"/>
              </c:ext>
            </c:extLst>
          </c:dPt>
          <c:cat>
            <c:strRef>
              <c:f>Sheet1!$A$61:$A$65</c:f>
              <c:strCache>
                <c:ptCount val="5"/>
                <c:pt idx="1">
                  <c:v>On-Premise</c:v>
                </c:pt>
                <c:pt idx="2">
                  <c:v>AWS</c:v>
                </c:pt>
                <c:pt idx="3">
                  <c:v>Migration</c:v>
                </c:pt>
                <c:pt idx="4">
                  <c:v>Cloud + Migration</c:v>
                </c:pt>
              </c:strCache>
            </c:strRef>
          </c:cat>
          <c:val>
            <c:numRef>
              <c:f>Sheet1!$B$61:$B$65</c:f>
              <c:numCache>
                <c:formatCode>General</c:formatCode>
                <c:ptCount val="5"/>
                <c:pt idx="1">
                  <c:v>565000</c:v>
                </c:pt>
                <c:pt idx="2" formatCode="&quot;£&quot;#,##0.00_);[Red]\(&quot;£&quot;#,##0.00\)">
                  <c:v>19835.760000000002</c:v>
                </c:pt>
                <c:pt idx="3" formatCode="&quot;£&quot;#,##0_);[Red]\(&quot;£&quot;#,##0\)">
                  <c:v>110000</c:v>
                </c:pt>
                <c:pt idx="4" formatCode="&quot;£&quot;#,##0_);[Red]\(&quot;£&quot;#,##0\)">
                  <c:v>129835.76000000001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37-B343-9DE0-8975E24C1F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755650</xdr:colOff>
      <xdr:row>51</xdr:row>
      <xdr:rowOff>57150</xdr:rowOff>
    </xdr:from>
    <xdr:to>
      <xdr:col>11</xdr:col>
      <xdr:colOff>374650</xdr:colOff>
      <xdr:row>64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8EA8EF-28C8-7B63-4F1D-373CC1724A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12808-6B43-0A45-8E00-E4CD2F004CA3}">
  <dimension ref="A1:D73"/>
  <sheetViews>
    <sheetView tabSelected="1" workbookViewId="0">
      <selection activeCell="D7" sqref="D7"/>
    </sheetView>
  </sheetViews>
  <sheetFormatPr baseColWidth="10" defaultRowHeight="16" x14ac:dyDescent="0.2"/>
  <cols>
    <col min="1" max="1" width="30.1640625" customWidth="1"/>
    <col min="2" max="2" width="14.5" customWidth="1"/>
    <col min="3" max="3" width="16.1640625" customWidth="1"/>
    <col min="4" max="4" width="28.83203125" customWidth="1"/>
  </cols>
  <sheetData>
    <row r="1" spans="1:2" ht="18" x14ac:dyDescent="0.2">
      <c r="A1" s="7" t="s">
        <v>0</v>
      </c>
    </row>
    <row r="2" spans="1:2" x14ac:dyDescent="0.2">
      <c r="A2" t="s">
        <v>1</v>
      </c>
      <c r="B2">
        <v>500</v>
      </c>
    </row>
    <row r="3" spans="1:2" x14ac:dyDescent="0.2">
      <c r="A3" t="s">
        <v>2</v>
      </c>
      <c r="B3" s="1">
        <v>100000</v>
      </c>
    </row>
    <row r="4" spans="1:2" x14ac:dyDescent="0.2">
      <c r="A4" t="s">
        <v>3</v>
      </c>
      <c r="B4">
        <v>50000000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>
        <v>4</v>
      </c>
    </row>
    <row r="7" spans="1:2" x14ac:dyDescent="0.2">
      <c r="A7" t="s">
        <v>7</v>
      </c>
      <c r="B7">
        <v>4</v>
      </c>
    </row>
    <row r="8" spans="1:2" x14ac:dyDescent="0.2">
      <c r="A8" t="s">
        <v>8</v>
      </c>
      <c r="B8">
        <v>2</v>
      </c>
    </row>
    <row r="9" spans="1:2" x14ac:dyDescent="0.2">
      <c r="A9" t="s">
        <v>9</v>
      </c>
      <c r="B9" t="s">
        <v>11</v>
      </c>
    </row>
    <row r="10" spans="1:2" x14ac:dyDescent="0.2">
      <c r="A10" t="s">
        <v>10</v>
      </c>
      <c r="B10">
        <v>8</v>
      </c>
    </row>
    <row r="11" spans="1:2" x14ac:dyDescent="0.2">
      <c r="A11" t="s">
        <v>12</v>
      </c>
      <c r="B11" t="s">
        <v>13</v>
      </c>
    </row>
    <row r="12" spans="1:2" x14ac:dyDescent="0.2">
      <c r="A12" t="s">
        <v>14</v>
      </c>
      <c r="B12" t="s">
        <v>15</v>
      </c>
    </row>
    <row r="17" spans="1:4" ht="18" x14ac:dyDescent="0.2">
      <c r="A17" s="7" t="s">
        <v>16</v>
      </c>
    </row>
    <row r="18" spans="1:4" x14ac:dyDescent="0.2">
      <c r="A18" t="s">
        <v>17</v>
      </c>
      <c r="B18" t="s">
        <v>18</v>
      </c>
      <c r="C18" t="s">
        <v>19</v>
      </c>
      <c r="D18" t="s">
        <v>20</v>
      </c>
    </row>
    <row r="19" spans="1:4" x14ac:dyDescent="0.2">
      <c r="A19" t="s">
        <v>21</v>
      </c>
      <c r="B19" s="2">
        <v>80000</v>
      </c>
      <c r="C19" s="2">
        <v>0</v>
      </c>
      <c r="D19" s="2">
        <v>0</v>
      </c>
    </row>
    <row r="20" spans="1:4" x14ac:dyDescent="0.2">
      <c r="A20" t="s">
        <v>22</v>
      </c>
      <c r="B20" s="2">
        <v>20000</v>
      </c>
      <c r="C20" s="2">
        <v>0</v>
      </c>
      <c r="D20" s="2">
        <v>0</v>
      </c>
    </row>
    <row r="21" spans="1:4" x14ac:dyDescent="0.2">
      <c r="A21" t="s">
        <v>23</v>
      </c>
      <c r="B21" s="2">
        <v>30000</v>
      </c>
      <c r="C21" s="2">
        <v>30000</v>
      </c>
      <c r="D21" s="2">
        <v>30000</v>
      </c>
    </row>
    <row r="22" spans="1:4" x14ac:dyDescent="0.2">
      <c r="A22" t="s">
        <v>24</v>
      </c>
      <c r="B22" s="2">
        <v>15000</v>
      </c>
      <c r="C22" s="2">
        <v>15000</v>
      </c>
      <c r="D22" s="2">
        <v>15000</v>
      </c>
    </row>
    <row r="23" spans="1:4" x14ac:dyDescent="0.2">
      <c r="A23" t="s">
        <v>25</v>
      </c>
      <c r="B23" s="2">
        <v>20000</v>
      </c>
      <c r="C23" s="2">
        <v>20000</v>
      </c>
      <c r="D23" s="2">
        <v>20000</v>
      </c>
    </row>
    <row r="24" spans="1:4" x14ac:dyDescent="0.2">
      <c r="A24" t="s">
        <v>26</v>
      </c>
      <c r="B24" s="2">
        <v>10000</v>
      </c>
      <c r="C24" s="2">
        <v>10000</v>
      </c>
      <c r="D24" s="2">
        <v>10000</v>
      </c>
    </row>
    <row r="25" spans="1:4" x14ac:dyDescent="0.2">
      <c r="A25" t="s">
        <v>27</v>
      </c>
      <c r="B25" s="2">
        <v>80000</v>
      </c>
      <c r="C25" s="2">
        <v>80000</v>
      </c>
      <c r="D25" s="2">
        <v>80000</v>
      </c>
    </row>
    <row r="26" spans="1:4" x14ac:dyDescent="0.2">
      <c r="A26" t="s">
        <v>28</v>
      </c>
      <c r="B26">
        <f>SUM(B18:B25)</f>
        <v>255000</v>
      </c>
      <c r="C26">
        <f>SUM(C18:C25)</f>
        <v>155000</v>
      </c>
      <c r="D26">
        <f>SUM(D18:D25)</f>
        <v>155000</v>
      </c>
    </row>
    <row r="27" spans="1:4" x14ac:dyDescent="0.2">
      <c r="A27" t="s">
        <v>40</v>
      </c>
      <c r="B27" s="2">
        <f>SUM(B2:D26)</f>
        <v>51230518</v>
      </c>
    </row>
    <row r="30" spans="1:4" ht="18" x14ac:dyDescent="0.2">
      <c r="A30" s="7" t="s">
        <v>29</v>
      </c>
    </row>
    <row r="31" spans="1:4" x14ac:dyDescent="0.2">
      <c r="A31" t="s">
        <v>30</v>
      </c>
      <c r="B31" t="s">
        <v>18</v>
      </c>
      <c r="C31" t="s">
        <v>19</v>
      </c>
      <c r="D31" t="s">
        <v>20</v>
      </c>
    </row>
    <row r="32" spans="1:4" x14ac:dyDescent="0.2">
      <c r="A32" t="s">
        <v>31</v>
      </c>
      <c r="B32" s="3">
        <v>2915</v>
      </c>
      <c r="C32" s="3">
        <v>2915</v>
      </c>
      <c r="D32" s="3">
        <v>2915</v>
      </c>
    </row>
    <row r="33" spans="1:4" x14ac:dyDescent="0.2">
      <c r="A33" t="s">
        <v>32</v>
      </c>
      <c r="B33" s="3">
        <v>286.92</v>
      </c>
      <c r="C33" s="3">
        <v>286.92</v>
      </c>
      <c r="D33" s="3">
        <v>286.92</v>
      </c>
    </row>
    <row r="34" spans="1:4" x14ac:dyDescent="0.2">
      <c r="A34" t="s">
        <v>33</v>
      </c>
      <c r="B34" s="4">
        <v>1380</v>
      </c>
      <c r="C34" s="4">
        <v>1380</v>
      </c>
      <c r="D34" s="4">
        <v>1380</v>
      </c>
    </row>
    <row r="35" spans="1:4" x14ac:dyDescent="0.2">
      <c r="A35" t="s">
        <v>34</v>
      </c>
      <c r="B35" s="3">
        <v>260</v>
      </c>
      <c r="C35" s="3">
        <v>260</v>
      </c>
      <c r="D35" s="3">
        <v>260</v>
      </c>
    </row>
    <row r="36" spans="1:4" x14ac:dyDescent="0.2">
      <c r="A36" t="s">
        <v>35</v>
      </c>
      <c r="B36" s="3">
        <v>972</v>
      </c>
      <c r="C36" s="3">
        <v>972</v>
      </c>
      <c r="D36" s="3">
        <v>972</v>
      </c>
    </row>
    <row r="37" spans="1:4" x14ac:dyDescent="0.2">
      <c r="A37" t="s">
        <v>36</v>
      </c>
      <c r="B37" s="3">
        <v>150</v>
      </c>
      <c r="C37" s="3">
        <v>150</v>
      </c>
      <c r="D37" s="3">
        <v>150</v>
      </c>
    </row>
    <row r="38" spans="1:4" x14ac:dyDescent="0.2">
      <c r="A38" t="s">
        <v>37</v>
      </c>
      <c r="B38" s="3">
        <v>300</v>
      </c>
      <c r="C38" s="3">
        <v>300</v>
      </c>
      <c r="D38" s="3">
        <v>300</v>
      </c>
    </row>
    <row r="39" spans="1:4" x14ac:dyDescent="0.2">
      <c r="A39" t="s">
        <v>38</v>
      </c>
      <c r="B39" s="3">
        <v>348</v>
      </c>
      <c r="C39" s="3">
        <v>348</v>
      </c>
      <c r="D39" s="3">
        <v>348</v>
      </c>
    </row>
    <row r="40" spans="1:4" x14ac:dyDescent="0.2">
      <c r="A40" t="s">
        <v>39</v>
      </c>
      <c r="B40" s="3">
        <f>SUM(B32:B39)</f>
        <v>6611.92</v>
      </c>
      <c r="C40" s="3">
        <f>SUM(C32:C39)</f>
        <v>6611.92</v>
      </c>
      <c r="D40">
        <f>SUM(D31:D39)</f>
        <v>6611.92</v>
      </c>
    </row>
    <row r="41" spans="1:4" x14ac:dyDescent="0.2">
      <c r="A41" t="s">
        <v>40</v>
      </c>
      <c r="B41" s="3">
        <f>SUM(B40:D40)</f>
        <v>19835.760000000002</v>
      </c>
    </row>
    <row r="45" spans="1:4" ht="18" x14ac:dyDescent="0.2">
      <c r="A45" s="7" t="s">
        <v>41</v>
      </c>
    </row>
    <row r="46" spans="1:4" x14ac:dyDescent="0.2">
      <c r="A46" t="s">
        <v>41</v>
      </c>
      <c r="B46" t="s">
        <v>42</v>
      </c>
    </row>
    <row r="47" spans="1:4" x14ac:dyDescent="0.2">
      <c r="A47" t="s">
        <v>43</v>
      </c>
      <c r="B47" s="2">
        <v>20000</v>
      </c>
    </row>
    <row r="48" spans="1:4" x14ac:dyDescent="0.2">
      <c r="A48" t="s">
        <v>44</v>
      </c>
      <c r="B48" s="2">
        <v>15000</v>
      </c>
    </row>
    <row r="49" spans="1:2" x14ac:dyDescent="0.2">
      <c r="A49" t="s">
        <v>45</v>
      </c>
      <c r="B49" s="2">
        <v>10000</v>
      </c>
    </row>
    <row r="50" spans="1:2" x14ac:dyDescent="0.2">
      <c r="A50" t="s">
        <v>46</v>
      </c>
      <c r="B50" s="2">
        <v>10000</v>
      </c>
    </row>
    <row r="51" spans="1:2" x14ac:dyDescent="0.2">
      <c r="A51" t="s">
        <v>47</v>
      </c>
      <c r="B51" s="2">
        <v>25000</v>
      </c>
    </row>
    <row r="52" spans="1:2" x14ac:dyDescent="0.2">
      <c r="A52" t="s">
        <v>48</v>
      </c>
      <c r="B52" s="2">
        <v>10000</v>
      </c>
    </row>
    <row r="53" spans="1:2" x14ac:dyDescent="0.2">
      <c r="A53" t="s">
        <v>49</v>
      </c>
      <c r="B53" s="2">
        <v>20000</v>
      </c>
    </row>
    <row r="54" spans="1:2" x14ac:dyDescent="0.2">
      <c r="A54" t="s">
        <v>50</v>
      </c>
      <c r="B54" s="2">
        <f>SUM(B47:B53)</f>
        <v>110000</v>
      </c>
    </row>
    <row r="60" spans="1:2" ht="18" x14ac:dyDescent="0.2">
      <c r="A60" s="7" t="s">
        <v>54</v>
      </c>
    </row>
    <row r="62" spans="1:2" x14ac:dyDescent="0.2">
      <c r="A62" t="s">
        <v>51</v>
      </c>
      <c r="B62">
        <f>SUM(B26:D26)</f>
        <v>565000</v>
      </c>
    </row>
    <row r="63" spans="1:2" x14ac:dyDescent="0.2">
      <c r="A63" t="s">
        <v>13</v>
      </c>
      <c r="B63" s="3">
        <f>SUM(B40:D40)</f>
        <v>19835.760000000002</v>
      </c>
    </row>
    <row r="64" spans="1:2" x14ac:dyDescent="0.2">
      <c r="A64" t="s">
        <v>52</v>
      </c>
      <c r="B64" s="2">
        <f>SUM(B47:B53)</f>
        <v>110000</v>
      </c>
    </row>
    <row r="65" spans="1:4" x14ac:dyDescent="0.2">
      <c r="A65" t="s">
        <v>53</v>
      </c>
      <c r="B65" s="2">
        <f>SUM(B63:B64)</f>
        <v>129835.76000000001</v>
      </c>
    </row>
    <row r="69" spans="1:4" x14ac:dyDescent="0.2">
      <c r="A69" s="5" t="s">
        <v>55</v>
      </c>
      <c r="B69" s="5" t="s">
        <v>56</v>
      </c>
      <c r="C69" s="6" t="s">
        <v>57</v>
      </c>
      <c r="D69" s="5" t="s">
        <v>58</v>
      </c>
    </row>
    <row r="70" spans="1:4" x14ac:dyDescent="0.2">
      <c r="A70" t="s">
        <v>59</v>
      </c>
      <c r="B70" t="s">
        <v>60</v>
      </c>
      <c r="C70" t="s">
        <v>61</v>
      </c>
      <c r="D70" t="s">
        <v>62</v>
      </c>
    </row>
    <row r="71" spans="1:4" x14ac:dyDescent="0.2">
      <c r="A71" t="s">
        <v>29</v>
      </c>
      <c r="B71" t="s">
        <v>60</v>
      </c>
      <c r="C71" t="s">
        <v>60</v>
      </c>
      <c r="D71" t="s">
        <v>63</v>
      </c>
    </row>
    <row r="72" spans="1:4" x14ac:dyDescent="0.2">
      <c r="A72" t="s">
        <v>64</v>
      </c>
      <c r="B72" t="s">
        <v>60</v>
      </c>
      <c r="C72" t="s">
        <v>60</v>
      </c>
      <c r="D72" t="s">
        <v>65</v>
      </c>
    </row>
    <row r="73" spans="1:4" x14ac:dyDescent="0.2">
      <c r="A73" t="s">
        <v>66</v>
      </c>
      <c r="B73" t="s">
        <v>60</v>
      </c>
      <c r="C73" t="s">
        <v>60</v>
      </c>
      <c r="D73" t="s">
        <v>67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Mbah, Precious A.</dc:creator>
  <cp:lastModifiedBy>Mbah, Precious A.</cp:lastModifiedBy>
  <dcterms:created xsi:type="dcterms:W3CDTF">2026-09-22T15:56:21Z</dcterms:created>
  <dcterms:modified xsi:type="dcterms:W3CDTF">2026-09-26T16:42:51Z</dcterms:modified>
</cp:coreProperties>
</file>